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Original vs optimised" sheetId="2" state="visible" r:id="rId4"/>
    <sheet name="Fit statistics" sheetId="3" state="visible" r:id="rId5"/>
    <sheet name="Crop &amp; soil water" sheetId="4" state="visible" r:id="rId6"/>
    <sheet name="Cross-site 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K not comparable across sites: Wallumbilla uses the PERFECT curve, the others the exponential curve.</t>
        </r>
      </text>
    </comment>
    <comment ref="B22" authorId="0">
      <text>
        <r>
          <rPr>
            <sz val="10"/>
            <rFont val="Arial"/>
            <family val="2"/>
          </rPr>
          <t xml:space="preserve">Calibration wrapper only; not in the vege file.</t>
        </r>
      </text>
    </comment>
    <comment ref="C16" authorId="0">
      <text>
        <r>
          <rPr>
            <sz val="10"/>
            <rFont val="Arial"/>
            <family val="2"/>
          </rPr>
          <t xml:space="preserve">Soil file value. Fitted 48 mm/day improved PAW RMSE by only 1 mm.</t>
        </r>
      </text>
    </comment>
    <comment ref="D14" authorId="0">
      <text>
        <r>
          <rPr>
            <sz val="10"/>
            <rFont val="Arial"/>
            <family val="2"/>
          </rPr>
          <t xml:space="preserve">At upper bound: optimiser compensating for crop over-drying the profile. Not a physical value.</t>
        </r>
      </text>
    </comment>
    <comment ref="D15" authorId="0">
      <text>
        <r>
          <rPr>
            <sz val="10"/>
            <rFont val="Arial"/>
            <family val="2"/>
          </rPr>
          <t xml:space="preserve">Near zero: optimiser compensating for crop over-drying the profile. Not a physical value.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8" authorId="0">
      <text>
        <r>
          <rPr>
            <sz val="10"/>
            <rFont val="Arial"/>
            <family val="2"/>
          </rPr>
          <t xml:space="preserve">Calibration code only; not in the vege file.</t>
        </r>
      </text>
    </comment>
    <comment ref="D8" authorId="0">
      <text>
        <r>
          <rPr>
            <sz val="10"/>
            <rFont val="Arial"/>
            <family val="2"/>
          </rPr>
          <t xml:space="preserve">David's earlier practice: CN 86 tilled, 90 zero till via a separate soil file (not checked here).</t>
        </r>
      </text>
    </comment>
    <comment ref="G12" authorId="0">
      <text>
        <r>
          <rPr>
            <sz val="10"/>
            <rFont val="Arial"/>
            <family val="2"/>
          </rPr>
          <t xml:space="preserve">Not physical: optimiser used evaporation to offset crop over-use of water.</t>
        </r>
      </text>
    </comment>
    <comment ref="G13" authorId="0">
      <text>
        <r>
          <rPr>
            <sz val="10"/>
            <rFont val="Arial"/>
            <family val="2"/>
          </rPr>
          <t xml:space="preserve">Not physical: optimiser used evaporation to offset crop over-use of water.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Wallumbilla P:O values from the adopted round-7 fit (sediment loss).</t>
        </r>
      </text>
    </comment>
    <comment ref="L5" authorId="0">
      <text>
        <r>
          <rPr>
            <sz val="10"/>
            <rFont val="Arial"/>
            <family val="2"/>
          </rPr>
          <t xml:space="preserve">Pooled over both treatments.</t>
        </r>
      </text>
    </comment>
  </commentList>
</comments>
</file>

<file path=xl/sharedStrings.xml><?xml version="1.0" encoding="utf-8"?>
<sst xmlns="http://schemas.openxmlformats.org/spreadsheetml/2006/main" count="214" uniqueCount="122">
  <si>
    <t xml:space="preserve">Watbal2026 optimised parameters — three catchment sites (Oct 2026)</t>
  </si>
  <si>
    <t xml:space="preserve">Pooled fits, all years, one parameter set per site. AMC howleaky; total cover → CN, erosion, soil evaporation; green cover → transpiration. Blue = calibrated/adopted values.</t>
  </si>
  <si>
    <t xml:space="preserve">Parameter</t>
  </si>
  <si>
    <t xml:space="preserve">Wallumbilla</t>
  </si>
  <si>
    <t xml:space="preserve">Greenwood</t>
  </si>
  <si>
    <t xml:space="preserve">Greenmount</t>
  </si>
  <si>
    <t xml:space="preserve">Soil</t>
  </si>
  <si>
    <t xml:space="preserve">Brown sodosol</t>
  </si>
  <si>
    <t xml:space="preserve">Grey clay</t>
  </si>
  <si>
    <t xml:space="preserve">Black earth</t>
  </si>
  <si>
    <t xml:space="preserve">Treatments</t>
  </si>
  <si>
    <t xml:space="preserve">Tilled, Min till</t>
  </si>
  <si>
    <t xml:space="preserve">Burnt, Incorporated, Mulch, Zero till</t>
  </si>
  <si>
    <t xml:space="preserve">CN2 (bare, tilled)</t>
  </si>
  <si>
    <t xml:space="preserve">CN reduction at full cover</t>
  </si>
  <si>
    <t xml:space="preserve">Zero-till CN2 offset</t>
  </si>
  <si>
    <t xml:space="preserve">n/a</t>
  </si>
  <si>
    <t xml:space="preserve">Sediment–cover curve</t>
  </si>
  <si>
    <t xml:space="preserve">PERFECT</t>
  </si>
  <si>
    <t xml:space="preserve">Exponential</t>
  </si>
  <si>
    <t xml:space="preserve">Sediment–cover coefficient b (per % cover)</t>
  </si>
  <si>
    <t xml:space="preserve">K (lumped erosion scale)</t>
  </si>
  <si>
    <t xml:space="preserve">Sediment winter fraction</t>
  </si>
  <si>
    <t xml:space="preserve">Cona</t>
  </si>
  <si>
    <t xml:space="preserve">U (mm)</t>
  </si>
  <si>
    <t xml:space="preserve">Bottom-layer drainage (mm/day)</t>
  </si>
  <si>
    <t xml:space="preserve">No-stress PAW fraction (crop)</t>
  </si>
  <si>
    <t xml:space="preserve">TUE</t>
  </si>
  <si>
    <t xml:space="preserve">Harvest index</t>
  </si>
  <si>
    <t xml:space="preserve">Root extraction limit kl</t>
  </si>
  <si>
    <t xml:space="preserve">none</t>
  </si>
  <si>
    <t xml:space="preserve">Vege description</t>
  </si>
  <si>
    <t xml:space="preserve">Wheat fallow slower roots</t>
  </si>
  <si>
    <t xml:space="preserve">Greenwood wheat</t>
  </si>
  <si>
    <t xml:space="preserve">Fallow weeds (green cover)</t>
  </si>
  <si>
    <t xml:space="preserve">Notes</t>
  </si>
  <si>
    <t xml:space="preserve">Cona and U at Greenmount are not physical: the optimiser used evaporation to offset crop over-use of water.</t>
  </si>
  <si>
    <t xml:space="preserve">K values are not comparable between sites because the sediment–cover curve differs.</t>
  </si>
  <si>
    <t xml:space="preserve">Fallow weeds at Wallumbilla are in the calibration wrapper only.</t>
  </si>
  <si>
    <t xml:space="preserve">Original (soil and vege file) vs optimised parameters</t>
  </si>
  <si>
    <t xml:space="preserve">Original = values in each site's soil and vege files before calibration. Optimised = Oct 2026 Watbal2026 pooled fits. Blue = optimised or adopted value.</t>
  </si>
  <si>
    <t xml:space="preserve">Wallumbilla original</t>
  </si>
  <si>
    <t xml:space="preserve">Wallumbilla optimised</t>
  </si>
  <si>
    <t xml:space="preserve">Greenwood original</t>
  </si>
  <si>
    <t xml:space="preserve">Greenwood optimised</t>
  </si>
  <si>
    <t xml:space="preserve">Greenmount original</t>
  </si>
  <si>
    <t xml:space="preserve">Greenmount optimised</t>
  </si>
  <si>
    <t xml:space="preserve">RUNOFF</t>
  </si>
  <si>
    <t xml:space="preserve">–</t>
  </si>
  <si>
    <t xml:space="preserve">separate soil (~90)</t>
  </si>
  <si>
    <t xml:space="preserve">AMC form</t>
  </si>
  <si>
    <t xml:space="preserve">capped</t>
  </si>
  <si>
    <t xml:space="preserve">uncapped (HowLeaky)</t>
  </si>
  <si>
    <t xml:space="preserve">uncapped</t>
  </si>
  <si>
    <t xml:space="preserve">Soil cracking</t>
  </si>
  <si>
    <t xml:space="preserve">off</t>
  </si>
  <si>
    <t xml:space="preserve">removed</t>
  </si>
  <si>
    <t xml:space="preserve">SOIL EVAPORATION</t>
  </si>
  <si>
    <t xml:space="preserve">DRAINAGE</t>
  </si>
  <si>
    <t xml:space="preserve">12 (not fitted)</t>
  </si>
  <si>
    <t xml:space="preserve">EROSION</t>
  </si>
  <si>
    <t xml:space="preserve">exponential</t>
  </si>
  <si>
    <t xml:space="preserve">K</t>
  </si>
  <si>
    <t xml:space="preserve">Delivery ratio</t>
  </si>
  <si>
    <t xml:space="preserve">0.40 (not fitted)</t>
  </si>
  <si>
    <t xml:space="preserve">observed 0.14 / 0.20 / 0.21 / 0.46</t>
  </si>
  <si>
    <t xml:space="preserve">observed 0.11 / 0.11 / 0.08 / 0.21</t>
  </si>
  <si>
    <t xml:space="preserve">CROP (WHEAT)</t>
  </si>
  <si>
    <t xml:space="preserve">No-stress PAW fraction</t>
  </si>
  <si>
    <t xml:space="preserve">0.2 (not fitted)</t>
  </si>
  <si>
    <t xml:space="preserve">30 (not fitted)</t>
  </si>
  <si>
    <t xml:space="preserve">Root development</t>
  </si>
  <si>
    <t xml:space="preserve">file vege</t>
  </si>
  <si>
    <t xml:space="preserve">slower roots</t>
  </si>
  <si>
    <t xml:space="preserve">Greenwood schedule</t>
  </si>
  <si>
    <t xml:space="preserve">Original CN2 used the capped AMC form; optimised CN2 uses the uncapped HowLeaky form, which needs a higher CN2 for the same runoff. At typical wetness the optimised 90–94 gives an effective bare-soil CN of about 78–83.</t>
  </si>
  <si>
    <t xml:space="preserve">At Wallumbilla K and delivery ratio act together: with the delivery ratio held at 0.4, K fell from 0.40 to 0.149, so the original file over-predicted suspended sediment about 2.7 times.</t>
  </si>
  <si>
    <t xml:space="preserve">Greenwood and Greenmount were fitted to total soil movement, so no delivery ratio was used; the values shown are observed suspended ÷ soil movement (Burnt / Incorporated / Mulch / Zero till).</t>
  </si>
  <si>
    <t xml:space="preserve">Greenmount values come from the fit made before the Mulch soil-movement correction (corrections.csv); the sediment parameters will shift slightly on refit.</t>
  </si>
  <si>
    <t xml:space="preserve">Fit statistics by treatment</t>
  </si>
  <si>
    <t xml:space="preserve">Runoff/sediment P:O = predicted ÷ observed over measured years. Greenwood/Greenmount P:O computed from the totals. Sediment = sediment loss (Wallumbilla) or soil movement (Greenwood, Greenmount).</t>
  </si>
  <si>
    <t xml:space="preserve">Site</t>
  </si>
  <si>
    <t xml:space="preserve">Treatment</t>
  </si>
  <si>
    <t xml:space="preserve">Runoff obs (mm)</t>
  </si>
  <si>
    <t xml:space="preserve">Runoff pred (mm)</t>
  </si>
  <si>
    <t xml:space="preserve">Runoff P:O</t>
  </si>
  <si>
    <t xml:space="preserve">Runoff NSE (3-day)</t>
  </si>
  <si>
    <t xml:space="preserve">Runoff event NSE</t>
  </si>
  <si>
    <t xml:space="preserve">Sediment obs</t>
  </si>
  <si>
    <t xml:space="preserve">Sediment pred</t>
  </si>
  <si>
    <t xml:space="preserve">Sediment P:O</t>
  </si>
  <si>
    <t xml:space="preserve">Sediment event NSE</t>
  </si>
  <si>
    <t xml:space="preserve">PAW RMSE (mm)</t>
  </si>
  <si>
    <t xml:space="preserve">Tilled</t>
  </si>
  <si>
    <t xml:space="preserve">Min till</t>
  </si>
  <si>
    <t xml:space="preserve">Burnt</t>
  </si>
  <si>
    <t xml:space="preserve">Incorporated</t>
  </si>
  <si>
    <t xml:space="preserve">Mulch</t>
  </si>
  <si>
    <t xml:space="preserve">Zero till</t>
  </si>
  <si>
    <t xml:space="preserve">Pooled</t>
  </si>
  <si>
    <t xml:space="preserve">Runoff NSE 0.73 / 0.68 by treatment; PAW RMSE 40 mm</t>
  </si>
  <si>
    <t xml:space="preserve">Runoff NSE 0.77; soil movement NSE 0.88; PAW RMSE 28 mm</t>
  </si>
  <si>
    <t xml:space="preserve">Runoff NSE 0.76; soil movement NSE 0.78; PAW RMSE 57 mm</t>
  </si>
  <si>
    <t xml:space="preserve">Crop and soil water</t>
  </si>
  <si>
    <t xml:space="preserve">Delivery ratio = suspended sediment ÷ soil movement (observed), by treatment: Burnt / Incorporated / Mulch / Zero till.</t>
  </si>
  <si>
    <t xml:space="preserve">End-of-crop PAW, predicted vs observed</t>
  </si>
  <si>
    <t xml:space="preserve">64 vs 65 mm (Tilled); 60 vs 59 mm (Min till) — unbiased</t>
  </si>
  <si>
    <t xml:space="preserve">15 vs 44 mm — too dry</t>
  </si>
  <si>
    <t xml:space="preserve">23–153 mm too dry</t>
  </si>
  <si>
    <t xml:space="preserve">Yield</t>
  </si>
  <si>
    <t xml:space="preserve">RMSE 0.50 t/ha, r 0.73</t>
  </si>
  <si>
    <t xml:space="preserve">2.0–2.3 vs 2.77 t/ha — low</t>
  </si>
  <si>
    <t xml:space="preserve">Not yet assessed</t>
  </si>
  <si>
    <t xml:space="preserve">Delivery ratio (observed)</t>
  </si>
  <si>
    <t xml:space="preserve">0.14 / 0.20 / 0.21 / 0.46</t>
  </si>
  <si>
    <t xml:space="preserve">0.11 / 0.11 / 0.08 / 0.21</t>
  </si>
  <si>
    <t xml:space="preserve">Cross-site findings</t>
  </si>
  <si>
    <t xml:space="preserve">• Runoff and sediment P:O near 1 at all sites; runoff 3-day NSE 0.68–0.82.</t>
  </si>
  <si>
    <t xml:space="preserve">• CN reduction with cover (15.1 vs 14.2) and zero-till offset (+5.0 vs +5.4) nearly identical at Greenwood and Greenmount — candidates for general defaults.</t>
  </si>
  <si>
    <t xml:space="preserve">• Wallumbilla's lower CN reduction (8.0) reflects a narrow cover range.</t>
  </si>
  <si>
    <t xml:space="preserve">• Base CN2 and sediment–cover coefficient b are site/soil specific.</t>
  </si>
  <si>
    <t xml:space="preserve">• Soil water is right only at Wallumbilla (slower-root vege + kl). The no-stress PAW fraction of 0.2 at Greenwood/Greenmount (vs 0.75) is the likely main cause of crop over-use of water.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</si>
</sst>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.0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5EE"/>
        <bgColor rgb="FFF2F2F2"/>
      </patternFill>
    </fill>
    <fill>
      <patternFill patternType="solid">
        <fgColor rgb="FFF2F2F2"/>
        <bgColor rgb="FFDDE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6"/>
    <col collapsed="false" customWidth="true" hidden="false" outlineLevel="0" max="4" min="3" style="1" width="34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</row>
    <row r="6" customFormat="false" ht="15" hidden="false" customHeight="true" outlineLevel="0" collapsed="false">
      <c r="A6" s="5" t="s">
        <v>10</v>
      </c>
      <c r="B6" s="6" t="s">
        <v>11</v>
      </c>
      <c r="C6" s="6" t="s">
        <v>12</v>
      </c>
      <c r="D6" s="6" t="s">
        <v>12</v>
      </c>
    </row>
    <row r="7" customFormat="false" ht="15" hidden="false" customHeight="true" outlineLevel="0" collapsed="false">
      <c r="A7" s="5" t="s">
        <v>13</v>
      </c>
      <c r="B7" s="6" t="n">
        <v>92.2</v>
      </c>
      <c r="C7" s="6" t="n">
        <v>93.6</v>
      </c>
      <c r="D7" s="6" t="n">
        <v>90.2</v>
      </c>
    </row>
    <row r="8" customFormat="false" ht="15" hidden="false" customHeight="true" outlineLevel="0" collapsed="false">
      <c r="A8" s="5" t="s">
        <v>14</v>
      </c>
      <c r="B8" s="6" t="n">
        <v>8</v>
      </c>
      <c r="C8" s="6" t="n">
        <v>15.1</v>
      </c>
      <c r="D8" s="6" t="n">
        <v>14.2</v>
      </c>
    </row>
    <row r="9" customFormat="false" ht="15" hidden="false" customHeight="true" outlineLevel="0" collapsed="false">
      <c r="A9" s="5" t="s">
        <v>15</v>
      </c>
      <c r="B9" s="6" t="s">
        <v>16</v>
      </c>
      <c r="C9" s="6" t="n">
        <v>5</v>
      </c>
      <c r="D9" s="6" t="n">
        <v>5.4</v>
      </c>
    </row>
    <row r="10" customFormat="false" ht="15" hidden="false" customHeight="true" outlineLevel="0" collapsed="false">
      <c r="A10" s="5" t="s">
        <v>17</v>
      </c>
      <c r="B10" s="6" t="s">
        <v>18</v>
      </c>
      <c r="C10" s="6" t="s">
        <v>19</v>
      </c>
      <c r="D10" s="6" t="s">
        <v>19</v>
      </c>
    </row>
    <row r="11" customFormat="false" ht="15" hidden="false" customHeight="true" outlineLevel="0" collapsed="false">
      <c r="A11" s="5" t="s">
        <v>20</v>
      </c>
      <c r="B11" s="6" t="s">
        <v>16</v>
      </c>
      <c r="C11" s="6" t="n">
        <v>0.095</v>
      </c>
      <c r="D11" s="6" t="n">
        <v>0.057</v>
      </c>
    </row>
    <row r="12" customFormat="false" ht="15" hidden="false" customHeight="true" outlineLevel="0" collapsed="false">
      <c r="A12" s="5" t="s">
        <v>21</v>
      </c>
      <c r="B12" s="6" t="n">
        <v>0.149</v>
      </c>
      <c r="C12" s="6" t="n">
        <v>0.8</v>
      </c>
      <c r="D12" s="6" t="n">
        <v>0.62</v>
      </c>
    </row>
    <row r="13" customFormat="false" ht="15" hidden="false" customHeight="true" outlineLevel="0" collapsed="false">
      <c r="A13" s="5" t="s">
        <v>22</v>
      </c>
      <c r="B13" s="6" t="s">
        <v>16</v>
      </c>
      <c r="C13" s="6" t="n">
        <v>0.015</v>
      </c>
      <c r="D13" s="6" t="n">
        <v>0.31</v>
      </c>
    </row>
    <row r="14" customFormat="false" ht="15" hidden="false" customHeight="true" outlineLevel="0" collapsed="false">
      <c r="A14" s="5" t="s">
        <v>23</v>
      </c>
      <c r="B14" s="6" t="n">
        <v>3.33</v>
      </c>
      <c r="C14" s="6" t="n">
        <v>5.1</v>
      </c>
      <c r="D14" s="6" t="n">
        <v>6.96</v>
      </c>
    </row>
    <row r="15" customFormat="false" ht="15" hidden="false" customHeight="true" outlineLevel="0" collapsed="false">
      <c r="A15" s="5" t="s">
        <v>24</v>
      </c>
      <c r="B15" s="6" t="n">
        <v>4.8</v>
      </c>
      <c r="C15" s="6" t="n">
        <v>4.7</v>
      </c>
      <c r="D15" s="6" t="n">
        <v>0.01</v>
      </c>
    </row>
    <row r="16" customFormat="false" ht="15" hidden="false" customHeight="true" outlineLevel="0" collapsed="false">
      <c r="A16" s="5" t="s">
        <v>25</v>
      </c>
      <c r="B16" s="6" t="n">
        <v>0.14</v>
      </c>
      <c r="C16" s="6" t="n">
        <v>12</v>
      </c>
      <c r="D16" s="6" t="n">
        <v>12</v>
      </c>
    </row>
    <row r="17" customFormat="false" ht="15" hidden="false" customHeight="true" outlineLevel="0" collapsed="false">
      <c r="A17" s="5" t="s">
        <v>26</v>
      </c>
      <c r="B17" s="6" t="n">
        <v>0.75</v>
      </c>
      <c r="C17" s="6" t="n">
        <v>0.2</v>
      </c>
      <c r="D17" s="6" t="n">
        <v>0.2</v>
      </c>
    </row>
    <row r="18" customFormat="false" ht="15" hidden="false" customHeight="true" outlineLevel="0" collapsed="false">
      <c r="A18" s="7" t="s">
        <v>27</v>
      </c>
      <c r="B18" s="6" t="n">
        <v>33.4</v>
      </c>
      <c r="C18" s="6" t="n">
        <v>30</v>
      </c>
      <c r="D18" s="6" t="n">
        <v>30</v>
      </c>
    </row>
    <row r="19" customFormat="false" ht="15" hidden="false" customHeight="true" outlineLevel="0" collapsed="false">
      <c r="A19" s="5" t="s">
        <v>28</v>
      </c>
      <c r="B19" s="6" t="n">
        <v>0.35</v>
      </c>
      <c r="C19" s="6" t="n">
        <v>0.4</v>
      </c>
      <c r="D19" s="6" t="n">
        <v>0.4</v>
      </c>
    </row>
    <row r="20" customFormat="false" ht="15" hidden="false" customHeight="true" outlineLevel="0" collapsed="false">
      <c r="A20" s="5" t="s">
        <v>29</v>
      </c>
      <c r="B20" s="6" t="n">
        <v>0.037</v>
      </c>
      <c r="C20" s="6" t="s">
        <v>30</v>
      </c>
      <c r="D20" s="6" t="s">
        <v>30</v>
      </c>
    </row>
    <row r="21" customFormat="false" ht="15" hidden="false" customHeight="true" outlineLevel="0" collapsed="false">
      <c r="A21" s="5" t="s">
        <v>31</v>
      </c>
      <c r="B21" s="6" t="s">
        <v>32</v>
      </c>
      <c r="C21" s="6" t="s">
        <v>33</v>
      </c>
      <c r="D21" s="6" t="s">
        <v>33</v>
      </c>
    </row>
    <row r="22" customFormat="false" ht="15" hidden="false" customHeight="true" outlineLevel="0" collapsed="false">
      <c r="A22" s="5" t="s">
        <v>34</v>
      </c>
      <c r="B22" s="8" t="n">
        <v>0.06</v>
      </c>
      <c r="C22" s="8" t="n">
        <v>0</v>
      </c>
      <c r="D22" s="8" t="n">
        <v>0</v>
      </c>
    </row>
    <row r="24" customFormat="false" ht="15" hidden="false" customHeight="true" outlineLevel="0" collapsed="false">
      <c r="A24" s="7" t="s">
        <v>35</v>
      </c>
    </row>
    <row r="25" customFormat="false" ht="15" hidden="false" customHeight="true" outlineLevel="0" collapsed="false">
      <c r="A25" s="5" t="s">
        <v>36</v>
      </c>
    </row>
    <row r="26" customFormat="false" ht="15" hidden="false" customHeight="true" outlineLevel="0" collapsed="false">
      <c r="A26" s="5" t="s">
        <v>37</v>
      </c>
    </row>
    <row r="27" customFormat="false" ht="15" hidden="false" customHeight="true" outlineLevel="0" collapsed="false">
      <c r="A27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9" t="s">
        <v>39</v>
      </c>
    </row>
    <row r="2" customFormat="false" ht="15" hidden="false" customHeight="false" outlineLevel="0" collapsed="false">
      <c r="A2" s="10" t="s">
        <v>40</v>
      </c>
    </row>
    <row r="4" customFormat="false" ht="30" hidden="false" customHeight="true" outlineLevel="0" collapsed="false">
      <c r="A4" s="11" t="s">
        <v>2</v>
      </c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customFormat="false" ht="15" hidden="false" customHeight="false" outlineLevel="0" collapsed="false">
      <c r="A5" s="12" t="s">
        <v>47</v>
      </c>
      <c r="B5" s="13"/>
      <c r="C5" s="13"/>
      <c r="D5" s="13"/>
      <c r="E5" s="13"/>
      <c r="F5" s="13"/>
      <c r="G5" s="13"/>
    </row>
    <row r="6" customFormat="false" ht="15" hidden="false" customHeight="false" outlineLevel="0" collapsed="false">
      <c r="A6" s="14" t="s">
        <v>13</v>
      </c>
      <c r="B6" s="14" t="n">
        <v>86</v>
      </c>
      <c r="C6" s="15" t="n">
        <v>92.2</v>
      </c>
      <c r="D6" s="14" t="n">
        <v>86</v>
      </c>
      <c r="E6" s="15" t="n">
        <v>93.6</v>
      </c>
      <c r="F6" s="14" t="n">
        <v>83</v>
      </c>
      <c r="G6" s="15" t="n">
        <v>90.2</v>
      </c>
    </row>
    <row r="7" customFormat="false" ht="15" hidden="false" customHeight="false" outlineLevel="0" collapsed="false">
      <c r="A7" s="14" t="s">
        <v>14</v>
      </c>
      <c r="B7" s="14" t="n">
        <v>10</v>
      </c>
      <c r="C7" s="15" t="n">
        <v>8</v>
      </c>
      <c r="D7" s="14" t="n">
        <v>15</v>
      </c>
      <c r="E7" s="15" t="n">
        <v>15.1</v>
      </c>
      <c r="F7" s="14" t="n">
        <v>15</v>
      </c>
      <c r="G7" s="15" t="n">
        <v>14.2</v>
      </c>
    </row>
    <row r="8" customFormat="false" ht="15" hidden="false" customHeight="false" outlineLevel="0" collapsed="false">
      <c r="A8" s="14" t="s">
        <v>15</v>
      </c>
      <c r="B8" s="14" t="s">
        <v>48</v>
      </c>
      <c r="C8" s="15" t="s">
        <v>48</v>
      </c>
      <c r="D8" s="14" t="s">
        <v>49</v>
      </c>
      <c r="E8" s="15" t="n">
        <v>5</v>
      </c>
      <c r="F8" s="14" t="s">
        <v>48</v>
      </c>
      <c r="G8" s="15" t="n">
        <v>5.4</v>
      </c>
    </row>
    <row r="9" customFormat="false" ht="15" hidden="false" customHeight="false" outlineLevel="0" collapsed="false">
      <c r="A9" s="14" t="s">
        <v>50</v>
      </c>
      <c r="B9" s="14" t="s">
        <v>51</v>
      </c>
      <c r="C9" s="15" t="s">
        <v>52</v>
      </c>
      <c r="D9" s="14" t="s">
        <v>51</v>
      </c>
      <c r="E9" s="15" t="s">
        <v>53</v>
      </c>
      <c r="F9" s="14" t="s">
        <v>51</v>
      </c>
      <c r="G9" s="15" t="s">
        <v>53</v>
      </c>
    </row>
    <row r="10" customFormat="false" ht="15" hidden="false" customHeight="false" outlineLevel="0" collapsed="false">
      <c r="A10" s="14" t="s">
        <v>54</v>
      </c>
      <c r="B10" s="14" t="s">
        <v>55</v>
      </c>
      <c r="C10" s="15" t="s">
        <v>56</v>
      </c>
      <c r="D10" s="14" t="s">
        <v>55</v>
      </c>
      <c r="E10" s="15" t="s">
        <v>56</v>
      </c>
      <c r="F10" s="14" t="s">
        <v>55</v>
      </c>
      <c r="G10" s="15" t="s">
        <v>56</v>
      </c>
    </row>
    <row r="11" customFormat="false" ht="15" hidden="false" customHeight="false" outlineLevel="0" collapsed="false">
      <c r="A11" s="12" t="s">
        <v>57</v>
      </c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14" t="s">
        <v>23</v>
      </c>
      <c r="B12" s="14" t="n">
        <v>4</v>
      </c>
      <c r="C12" s="15" t="n">
        <v>3.33</v>
      </c>
      <c r="D12" s="14" t="n">
        <v>6</v>
      </c>
      <c r="E12" s="15" t="n">
        <v>5.1</v>
      </c>
      <c r="F12" s="14" t="n">
        <v>4</v>
      </c>
      <c r="G12" s="15" t="n">
        <v>6.96</v>
      </c>
    </row>
    <row r="13" customFormat="false" ht="15" hidden="false" customHeight="false" outlineLevel="0" collapsed="false">
      <c r="A13" s="14" t="s">
        <v>24</v>
      </c>
      <c r="B13" s="14" t="n">
        <v>4</v>
      </c>
      <c r="C13" s="15" t="n">
        <v>4.8</v>
      </c>
      <c r="D13" s="14" t="n">
        <v>0</v>
      </c>
      <c r="E13" s="15" t="n">
        <v>4.7</v>
      </c>
      <c r="F13" s="14" t="n">
        <v>4</v>
      </c>
      <c r="G13" s="15" t="n">
        <v>0.01</v>
      </c>
    </row>
    <row r="14" customFormat="false" ht="15" hidden="false" customHeight="false" outlineLevel="0" collapsed="false">
      <c r="A14" s="12" t="s">
        <v>58</v>
      </c>
      <c r="B14" s="13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4" t="s">
        <v>25</v>
      </c>
      <c r="B15" s="14" t="n">
        <v>0.1</v>
      </c>
      <c r="C15" s="15" t="n">
        <v>0.14</v>
      </c>
      <c r="D15" s="14" t="n">
        <v>12</v>
      </c>
      <c r="E15" s="15" t="s">
        <v>59</v>
      </c>
      <c r="F15" s="14" t="n">
        <v>12</v>
      </c>
      <c r="G15" s="15" t="s">
        <v>59</v>
      </c>
    </row>
    <row r="16" customFormat="false" ht="15" hidden="false" customHeight="false" outlineLevel="0" collapsed="false">
      <c r="A16" s="12" t="s">
        <v>60</v>
      </c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14" t="s">
        <v>17</v>
      </c>
      <c r="B17" s="14" t="s">
        <v>18</v>
      </c>
      <c r="C17" s="15" t="s">
        <v>18</v>
      </c>
      <c r="D17" s="14" t="s">
        <v>18</v>
      </c>
      <c r="E17" s="15" t="s">
        <v>61</v>
      </c>
      <c r="F17" s="14" t="s">
        <v>18</v>
      </c>
      <c r="G17" s="15" t="s">
        <v>61</v>
      </c>
    </row>
    <row r="18" customFormat="false" ht="15" hidden="false" customHeight="false" outlineLevel="0" collapsed="false">
      <c r="A18" s="14" t="s">
        <v>20</v>
      </c>
      <c r="B18" s="14" t="s">
        <v>48</v>
      </c>
      <c r="C18" s="15" t="s">
        <v>48</v>
      </c>
      <c r="D18" s="14" t="s">
        <v>48</v>
      </c>
      <c r="E18" s="15" t="n">
        <v>0.095</v>
      </c>
      <c r="F18" s="14" t="s">
        <v>48</v>
      </c>
      <c r="G18" s="15" t="n">
        <v>0.057</v>
      </c>
    </row>
    <row r="19" customFormat="false" ht="15" hidden="false" customHeight="false" outlineLevel="0" collapsed="false">
      <c r="A19" s="14" t="s">
        <v>62</v>
      </c>
      <c r="B19" s="14" t="n">
        <v>0.4</v>
      </c>
      <c r="C19" s="15" t="n">
        <v>0.149</v>
      </c>
      <c r="D19" s="14" t="n">
        <v>0.4</v>
      </c>
      <c r="E19" s="15" t="n">
        <v>0.8</v>
      </c>
      <c r="F19" s="14" t="n">
        <v>0.35</v>
      </c>
      <c r="G19" s="15" t="n">
        <v>0.62</v>
      </c>
    </row>
    <row r="20" customFormat="false" ht="15" hidden="false" customHeight="false" outlineLevel="0" collapsed="false">
      <c r="A20" s="14" t="s">
        <v>22</v>
      </c>
      <c r="B20" s="14" t="s">
        <v>48</v>
      </c>
      <c r="C20" s="15" t="s">
        <v>48</v>
      </c>
      <c r="D20" s="14" t="s">
        <v>48</v>
      </c>
      <c r="E20" s="15" t="n">
        <v>0.015</v>
      </c>
      <c r="F20" s="14" t="s">
        <v>48</v>
      </c>
      <c r="G20" s="15" t="n">
        <v>0.31</v>
      </c>
    </row>
    <row r="21" customFormat="false" ht="23.85" hidden="false" customHeight="false" outlineLevel="0" collapsed="false">
      <c r="A21" s="14" t="s">
        <v>63</v>
      </c>
      <c r="B21" s="14" t="n">
        <v>0.4</v>
      </c>
      <c r="C21" s="15" t="s">
        <v>64</v>
      </c>
      <c r="D21" s="14" t="n">
        <v>0.14</v>
      </c>
      <c r="E21" s="15" t="s">
        <v>65</v>
      </c>
      <c r="F21" s="14" t="n">
        <v>0.14</v>
      </c>
      <c r="G21" s="15" t="s">
        <v>66</v>
      </c>
    </row>
    <row r="22" customFormat="false" ht="15" hidden="false" customHeight="false" outlineLevel="0" collapsed="false">
      <c r="A22" s="12" t="s">
        <v>67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4" t="s">
        <v>68</v>
      </c>
      <c r="B23" s="14" t="n">
        <v>0.2</v>
      </c>
      <c r="C23" s="15" t="n">
        <v>0.75</v>
      </c>
      <c r="D23" s="14" t="n">
        <v>0.2</v>
      </c>
      <c r="E23" s="15" t="s">
        <v>69</v>
      </c>
      <c r="F23" s="14" t="n">
        <v>0.2</v>
      </c>
      <c r="G23" s="15" t="s">
        <v>69</v>
      </c>
    </row>
    <row r="24" customFormat="false" ht="15" hidden="false" customHeight="false" outlineLevel="0" collapsed="false">
      <c r="A24" s="14" t="s">
        <v>27</v>
      </c>
      <c r="B24" s="14" t="n">
        <v>25</v>
      </c>
      <c r="C24" s="15" t="n">
        <v>33.4</v>
      </c>
      <c r="D24" s="14" t="n">
        <v>30</v>
      </c>
      <c r="E24" s="15" t="s">
        <v>70</v>
      </c>
      <c r="F24" s="14" t="n">
        <v>30</v>
      </c>
      <c r="G24" s="15" t="s">
        <v>70</v>
      </c>
    </row>
    <row r="25" customFormat="false" ht="15" hidden="false" customHeight="false" outlineLevel="0" collapsed="false">
      <c r="A25" s="14" t="s">
        <v>28</v>
      </c>
      <c r="B25" s="14" t="n">
        <v>0.35</v>
      </c>
      <c r="C25" s="15" t="n">
        <v>0.35</v>
      </c>
      <c r="D25" s="14" t="n">
        <v>0.4</v>
      </c>
      <c r="E25" s="15" t="n">
        <v>0.4</v>
      </c>
      <c r="F25" s="14" t="n">
        <v>0.4</v>
      </c>
      <c r="G25" s="15" t="n">
        <v>0.4</v>
      </c>
    </row>
    <row r="26" customFormat="false" ht="15" hidden="false" customHeight="false" outlineLevel="0" collapsed="false">
      <c r="A26" s="14" t="s">
        <v>29</v>
      </c>
      <c r="B26" s="14" t="s">
        <v>48</v>
      </c>
      <c r="C26" s="15" t="n">
        <v>0.037</v>
      </c>
      <c r="D26" s="14" t="s">
        <v>48</v>
      </c>
      <c r="E26" s="15" t="s">
        <v>48</v>
      </c>
      <c r="F26" s="14" t="s">
        <v>48</v>
      </c>
      <c r="G26" s="15" t="s">
        <v>48</v>
      </c>
    </row>
    <row r="27" customFormat="false" ht="15" hidden="false" customHeight="false" outlineLevel="0" collapsed="false">
      <c r="A27" s="14" t="s">
        <v>71</v>
      </c>
      <c r="B27" s="14" t="s">
        <v>72</v>
      </c>
      <c r="C27" s="15" t="s">
        <v>73</v>
      </c>
      <c r="D27" s="14" t="s">
        <v>72</v>
      </c>
      <c r="E27" s="15" t="s">
        <v>74</v>
      </c>
      <c r="F27" s="14" t="s">
        <v>72</v>
      </c>
      <c r="G27" s="15" t="s">
        <v>74</v>
      </c>
    </row>
    <row r="28" customFormat="false" ht="15" hidden="false" customHeight="false" outlineLevel="0" collapsed="false">
      <c r="A28" s="14" t="s">
        <v>34</v>
      </c>
      <c r="B28" s="14" t="s">
        <v>48</v>
      </c>
      <c r="C28" s="16" t="n">
        <v>0.06</v>
      </c>
      <c r="D28" s="14" t="s">
        <v>48</v>
      </c>
      <c r="E28" s="15" t="s">
        <v>48</v>
      </c>
      <c r="F28" s="14" t="s">
        <v>48</v>
      </c>
      <c r="G28" s="15" t="s">
        <v>48</v>
      </c>
    </row>
    <row r="30" customFormat="false" ht="15" hidden="false" customHeight="false" outlineLevel="0" collapsed="false">
      <c r="A30" s="17" t="s">
        <v>35</v>
      </c>
    </row>
    <row r="31" customFormat="false" ht="15" hidden="false" customHeight="false" outlineLevel="0" collapsed="false">
      <c r="A31" s="18" t="s">
        <v>75</v>
      </c>
    </row>
    <row r="32" customFormat="false" ht="15" hidden="false" customHeight="false" outlineLevel="0" collapsed="false">
      <c r="A32" s="18" t="s">
        <v>76</v>
      </c>
    </row>
    <row r="33" customFormat="false" ht="15" hidden="false" customHeight="false" outlineLevel="0" collapsed="false">
      <c r="A33" s="18" t="s">
        <v>77</v>
      </c>
    </row>
    <row r="34" customFormat="false" ht="15" hidden="false" customHeight="false" outlineLevel="0" collapsed="false">
      <c r="A34" s="18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2" min="11" style="1" width="10"/>
  </cols>
  <sheetData>
    <row r="1" customFormat="false" ht="15" hidden="false" customHeight="true" outlineLevel="0" collapsed="false">
      <c r="A1" s="2" t="s">
        <v>79</v>
      </c>
    </row>
    <row r="2" customFormat="false" ht="15" hidden="false" customHeight="true" outlineLevel="0" collapsed="false">
      <c r="A2" s="3" t="s">
        <v>80</v>
      </c>
    </row>
    <row r="4" customFormat="false" ht="42" hidden="false" customHeight="true" outlineLevel="0" collapsed="false">
      <c r="A4" s="11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1" t="s">
        <v>90</v>
      </c>
      <c r="K4" s="11" t="s">
        <v>91</v>
      </c>
      <c r="L4" s="11" t="s">
        <v>92</v>
      </c>
    </row>
    <row r="5" customFormat="false" ht="15" hidden="false" customHeight="true" outlineLevel="0" collapsed="false">
      <c r="A5" s="5" t="s">
        <v>3</v>
      </c>
      <c r="B5" s="5" t="s">
        <v>93</v>
      </c>
      <c r="C5" s="19" t="s">
        <v>48</v>
      </c>
      <c r="D5" s="19" t="s">
        <v>48</v>
      </c>
      <c r="E5" s="20" t="n">
        <v>1</v>
      </c>
      <c r="F5" s="20" t="n">
        <v>0.73</v>
      </c>
      <c r="G5" s="21" t="s">
        <v>48</v>
      </c>
      <c r="H5" s="19" t="s">
        <v>48</v>
      </c>
      <c r="I5" s="19" t="s">
        <v>48</v>
      </c>
      <c r="J5" s="20" t="n">
        <v>1.04</v>
      </c>
      <c r="K5" s="21" t="s">
        <v>48</v>
      </c>
      <c r="L5" s="22" t="n">
        <v>40</v>
      </c>
    </row>
    <row r="6" customFormat="false" ht="15" hidden="false" customHeight="true" outlineLevel="0" collapsed="false">
      <c r="A6" s="5" t="s">
        <v>3</v>
      </c>
      <c r="B6" s="5" t="s">
        <v>94</v>
      </c>
      <c r="C6" s="19" t="s">
        <v>48</v>
      </c>
      <c r="D6" s="19" t="s">
        <v>48</v>
      </c>
      <c r="E6" s="20" t="n">
        <v>1</v>
      </c>
      <c r="F6" s="20" t="n">
        <v>0.68</v>
      </c>
      <c r="G6" s="21" t="s">
        <v>48</v>
      </c>
      <c r="H6" s="19" t="s">
        <v>48</v>
      </c>
      <c r="I6" s="19" t="s">
        <v>48</v>
      </c>
      <c r="J6" s="20" t="n">
        <v>0.95</v>
      </c>
      <c r="K6" s="21" t="s">
        <v>48</v>
      </c>
      <c r="L6" s="22" t="n">
        <v>40</v>
      </c>
    </row>
    <row r="7" customFormat="false" ht="15" hidden="false" customHeight="true" outlineLevel="0" collapsed="false">
      <c r="A7" s="5" t="s">
        <v>4</v>
      </c>
      <c r="B7" s="5" t="s">
        <v>95</v>
      </c>
      <c r="C7" s="23" t="n">
        <v>426.9</v>
      </c>
      <c r="D7" s="23" t="n">
        <v>426.9</v>
      </c>
      <c r="E7" s="21" t="n">
        <f aca="false">IFERROR(D7/C7,"")</f>
        <v>1</v>
      </c>
      <c r="F7" s="20" t="n">
        <v>0.8</v>
      </c>
      <c r="G7" s="20" t="n">
        <v>0.89</v>
      </c>
      <c r="H7" s="23" t="n">
        <v>193.7</v>
      </c>
      <c r="I7" s="23" t="n">
        <v>193.7</v>
      </c>
      <c r="J7" s="21" t="n">
        <f aca="false">IFERROR(I7/H7,"")</f>
        <v>1</v>
      </c>
      <c r="K7" s="20" t="n">
        <v>0.88</v>
      </c>
      <c r="L7" s="22" t="n">
        <v>28</v>
      </c>
    </row>
    <row r="8" customFormat="false" ht="15" hidden="false" customHeight="true" outlineLevel="0" collapsed="false">
      <c r="A8" s="5" t="s">
        <v>4</v>
      </c>
      <c r="B8" s="5" t="s">
        <v>96</v>
      </c>
      <c r="C8" s="23" t="n">
        <v>355.6</v>
      </c>
      <c r="D8" s="23" t="n">
        <v>362.2</v>
      </c>
      <c r="E8" s="21" t="n">
        <f aca="false">IFERROR(D8/C8,"")</f>
        <v>1.0185601799775</v>
      </c>
      <c r="F8" s="20" t="n">
        <v>0.74</v>
      </c>
      <c r="G8" s="20" t="n">
        <v>0.87</v>
      </c>
      <c r="H8" s="23" t="n">
        <v>50.1</v>
      </c>
      <c r="I8" s="23" t="n">
        <v>61.8</v>
      </c>
      <c r="J8" s="21" t="n">
        <f aca="false">IFERROR(I8/H8,"")</f>
        <v>1.23353293413174</v>
      </c>
      <c r="K8" s="20" t="n">
        <v>0.81</v>
      </c>
      <c r="L8" s="22" t="n">
        <v>24</v>
      </c>
    </row>
    <row r="9" customFormat="false" ht="15" hidden="false" customHeight="true" outlineLevel="0" collapsed="false">
      <c r="A9" s="5" t="s">
        <v>4</v>
      </c>
      <c r="B9" s="5" t="s">
        <v>97</v>
      </c>
      <c r="C9" s="23" t="n">
        <v>300.5</v>
      </c>
      <c r="D9" s="23" t="n">
        <v>297.5</v>
      </c>
      <c r="E9" s="21" t="n">
        <f aca="false">IFERROR(D9/C9,"")</f>
        <v>0.990016638935108</v>
      </c>
      <c r="F9" s="20" t="n">
        <v>0.73</v>
      </c>
      <c r="G9" s="20" t="n">
        <v>0.85</v>
      </c>
      <c r="H9" s="23" t="n">
        <v>24.4</v>
      </c>
      <c r="I9" s="23" t="n">
        <v>22.1</v>
      </c>
      <c r="J9" s="21" t="n">
        <f aca="false">IFERROR(I9/H9,"")</f>
        <v>0.905737704918033</v>
      </c>
      <c r="K9" s="20" t="n">
        <v>0.82</v>
      </c>
      <c r="L9" s="22" t="n">
        <v>29</v>
      </c>
    </row>
    <row r="10" customFormat="false" ht="15" hidden="false" customHeight="true" outlineLevel="0" collapsed="false">
      <c r="A10" s="5" t="s">
        <v>4</v>
      </c>
      <c r="B10" s="5" t="s">
        <v>98</v>
      </c>
      <c r="C10" s="23" t="n">
        <v>328.9</v>
      </c>
      <c r="D10" s="23" t="n">
        <v>329.3</v>
      </c>
      <c r="E10" s="21" t="n">
        <f aca="false">IFERROR(D10/C10,"")</f>
        <v>1.00121617512922</v>
      </c>
      <c r="F10" s="20" t="n">
        <v>0.82</v>
      </c>
      <c r="G10" s="20" t="n">
        <v>0.91</v>
      </c>
      <c r="H10" s="23" t="n">
        <v>13.3</v>
      </c>
      <c r="I10" s="23" t="n">
        <v>13.3</v>
      </c>
      <c r="J10" s="21" t="n">
        <f aca="false">IFERROR(I10/H10,"")</f>
        <v>1</v>
      </c>
      <c r="K10" s="20" t="n">
        <v>0.74</v>
      </c>
      <c r="L10" s="22" t="n">
        <v>29</v>
      </c>
    </row>
    <row r="11" customFormat="false" ht="15" hidden="false" customHeight="true" outlineLevel="0" collapsed="false">
      <c r="A11" s="5" t="s">
        <v>5</v>
      </c>
      <c r="B11" s="5" t="s">
        <v>95</v>
      </c>
      <c r="C11" s="23" t="n">
        <v>818.6</v>
      </c>
      <c r="D11" s="23" t="n">
        <v>818.5</v>
      </c>
      <c r="E11" s="21" t="n">
        <f aca="false">IFERROR(D11/C11,"")</f>
        <v>0.999877840215001</v>
      </c>
      <c r="F11" s="20" t="n">
        <v>0.79</v>
      </c>
      <c r="G11" s="20" t="n">
        <v>0.85</v>
      </c>
      <c r="H11" s="23" t="n">
        <v>535.7</v>
      </c>
      <c r="I11" s="23" t="n">
        <v>626.4</v>
      </c>
      <c r="J11" s="21" t="n">
        <f aca="false">IFERROR(I11/H11,"")</f>
        <v>1.16931118163151</v>
      </c>
      <c r="K11" s="20" t="n">
        <v>0.82</v>
      </c>
      <c r="L11" s="22" t="n">
        <v>51</v>
      </c>
    </row>
    <row r="12" customFormat="false" ht="15" hidden="false" customHeight="true" outlineLevel="0" collapsed="false">
      <c r="A12" s="5" t="s">
        <v>5</v>
      </c>
      <c r="B12" s="5" t="s">
        <v>96</v>
      </c>
      <c r="C12" s="23" t="n">
        <v>654.1</v>
      </c>
      <c r="D12" s="23" t="n">
        <v>656.2</v>
      </c>
      <c r="E12" s="21" t="n">
        <f aca="false">IFERROR(D12/C12,"")</f>
        <v>1.00321051826938</v>
      </c>
      <c r="F12" s="20" t="n">
        <v>0.76</v>
      </c>
      <c r="G12" s="20" t="n">
        <v>0.83</v>
      </c>
      <c r="H12" s="23" t="n">
        <v>183.1</v>
      </c>
      <c r="I12" s="23" t="n">
        <v>180.1</v>
      </c>
      <c r="J12" s="21" t="n">
        <f aca="false">IFERROR(I12/H12,"")</f>
        <v>0.983615510649918</v>
      </c>
      <c r="K12" s="20" t="n">
        <v>0.69</v>
      </c>
      <c r="L12" s="22" t="n">
        <v>63</v>
      </c>
    </row>
    <row r="13" customFormat="false" ht="15" hidden="false" customHeight="true" outlineLevel="0" collapsed="false">
      <c r="A13" s="5" t="s">
        <v>5</v>
      </c>
      <c r="B13" s="5" t="s">
        <v>97</v>
      </c>
      <c r="C13" s="23" t="n">
        <v>557.9</v>
      </c>
      <c r="D13" s="23" t="n">
        <v>540.6</v>
      </c>
      <c r="E13" s="21" t="n">
        <f aca="false">IFERROR(D13/C13,"")</f>
        <v>0.968990858576806</v>
      </c>
      <c r="F13" s="20" t="n">
        <v>0.72</v>
      </c>
      <c r="G13" s="20" t="n">
        <v>0.83</v>
      </c>
      <c r="H13" s="23" t="n">
        <v>110</v>
      </c>
      <c r="I13" s="23" t="n">
        <v>86.5</v>
      </c>
      <c r="J13" s="21" t="n">
        <f aca="false">IFERROR(I13/H13,"")</f>
        <v>0.786363636363636</v>
      </c>
      <c r="K13" s="20" t="n">
        <v>0.54</v>
      </c>
      <c r="L13" s="22" t="n">
        <v>62</v>
      </c>
    </row>
    <row r="14" customFormat="false" ht="15" hidden="false" customHeight="true" outlineLevel="0" collapsed="false">
      <c r="A14" s="5" t="s">
        <v>5</v>
      </c>
      <c r="B14" s="5" t="s">
        <v>98</v>
      </c>
      <c r="C14" s="23" t="n">
        <v>424.9</v>
      </c>
      <c r="D14" s="23" t="n">
        <v>424.9</v>
      </c>
      <c r="E14" s="21" t="n">
        <f aca="false">IFERROR(D14/C14,"")</f>
        <v>1</v>
      </c>
      <c r="F14" s="20" t="n">
        <v>0.76</v>
      </c>
      <c r="G14" s="20" t="n">
        <v>0.83</v>
      </c>
      <c r="H14" s="23" t="n">
        <v>14</v>
      </c>
      <c r="I14" s="23" t="n">
        <v>14</v>
      </c>
      <c r="J14" s="21" t="n">
        <f aca="false">IFERROR(I14/H14,"")</f>
        <v>1</v>
      </c>
      <c r="K14" s="20" t="n">
        <v>0.48</v>
      </c>
      <c r="L14" s="22" t="n">
        <v>55</v>
      </c>
    </row>
    <row r="16" customFormat="false" ht="15" hidden="false" customHeight="true" outlineLevel="0" collapsed="false">
      <c r="A16" s="7" t="s">
        <v>99</v>
      </c>
    </row>
    <row r="17" customFormat="false" ht="15" hidden="false" customHeight="true" outlineLevel="0" collapsed="false">
      <c r="A17" s="5" t="s">
        <v>3</v>
      </c>
      <c r="B17" s="5" t="s">
        <v>100</v>
      </c>
    </row>
    <row r="18" customFormat="false" ht="15" hidden="false" customHeight="true" outlineLevel="0" collapsed="false">
      <c r="A18" s="5" t="s">
        <v>4</v>
      </c>
      <c r="B18" s="5" t="s">
        <v>101</v>
      </c>
    </row>
    <row r="19" customFormat="false" ht="15" hidden="false" customHeight="true" outlineLevel="0" collapsed="false">
      <c r="A19" s="5" t="s">
        <v>5</v>
      </c>
      <c r="B19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6"/>
    <col collapsed="false" customWidth="true" hidden="false" outlineLevel="0" max="4" min="3" style="1" width="34"/>
  </cols>
  <sheetData>
    <row r="1" customFormat="false" ht="15" hidden="false" customHeight="true" outlineLevel="0" collapsed="false">
      <c r="A1" s="2" t="s">
        <v>103</v>
      </c>
    </row>
    <row r="2" customFormat="false" ht="15" hidden="false" customHeight="true" outlineLevel="0" collapsed="false">
      <c r="A2" s="3" t="s">
        <v>104</v>
      </c>
    </row>
    <row r="4" customFormat="false" ht="15" hidden="false" customHeight="true" outlineLevel="0" collapsed="false">
      <c r="A4" s="4"/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24" t="s">
        <v>105</v>
      </c>
      <c r="B5" s="24" t="s">
        <v>106</v>
      </c>
      <c r="C5" s="24" t="s">
        <v>107</v>
      </c>
      <c r="D5" s="24" t="s">
        <v>108</v>
      </c>
    </row>
    <row r="6" customFormat="false" ht="15" hidden="false" customHeight="true" outlineLevel="0" collapsed="false">
      <c r="A6" s="24" t="s">
        <v>109</v>
      </c>
      <c r="B6" s="24" t="s">
        <v>110</v>
      </c>
      <c r="C6" s="24" t="s">
        <v>111</v>
      </c>
      <c r="D6" s="24" t="s">
        <v>112</v>
      </c>
    </row>
    <row r="7" customFormat="false" ht="15" hidden="false" customHeight="true" outlineLevel="0" collapsed="false">
      <c r="A7" s="24" t="s">
        <v>113</v>
      </c>
      <c r="B7" s="24" t="s">
        <v>48</v>
      </c>
      <c r="C7" s="24" t="s">
        <v>114</v>
      </c>
      <c r="D7" s="2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116</v>
      </c>
    </row>
    <row r="2" customFormat="false" ht="15" hidden="false" customHeight="true" outlineLevel="0" collapsed="false">
      <c r="A2" s="3"/>
    </row>
    <row r="4" customFormat="false" ht="15" hidden="false" customHeight="true" outlineLevel="0" collapsed="false">
      <c r="A4" s="25" t="s">
        <v>117</v>
      </c>
    </row>
    <row r="5" customFormat="false" ht="23.25" hidden="false" customHeight="true" outlineLevel="0" collapsed="false">
      <c r="A5" s="25" t="s">
        <v>118</v>
      </c>
    </row>
    <row r="6" customFormat="false" ht="15" hidden="false" customHeight="true" outlineLevel="0" collapsed="false">
      <c r="A6" s="25" t="s">
        <v>119</v>
      </c>
    </row>
    <row r="7" customFormat="false" ht="15" hidden="false" customHeight="true" outlineLevel="0" collapsed="false">
      <c r="A7" s="25" t="s">
        <v>120</v>
      </c>
    </row>
    <row r="8" customFormat="false" ht="23.25" hidden="false" customHeight="true" outlineLevel="0" collapsed="false">
      <c r="A8" s="25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2026-10-23T05:49:11Z</dcterms:created>
  <dc:creator>openpyxl</dc:creator>
  <dc:description/>
  <dc:language>en-US</dc:language>
  <cp:lastModifiedBy/>
  <dcterms:modified xsi:type="dcterms:W3CDTF">2026-10-24T07:32:15Z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